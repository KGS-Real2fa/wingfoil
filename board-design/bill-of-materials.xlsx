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Tools check" sheetId="2" state="visible" r:id="rId4"/>
    <sheet name="Weight budg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<sst xmlns="http://schemas.openxmlformats.org/spreadsheetml/2006/main" count="292" uniqueCount="204">
  <si>
    <t xml:space="preserve">2.0 m / 120 L downwind pump board: bill of materials</t>
  </si>
  <si>
    <t xml:space="preserve">Blue = editable input (quantities and prices). Black = formula. Price basis: Quoted = checked on the supplier page 2026-10-15/16; Estimate = typical EU retail, check before ordering; On hand = already owned.</t>
  </si>
  <si>
    <t xml:space="preserve">#</t>
  </si>
  <si>
    <t xml:space="preserve">Category</t>
  </si>
  <si>
    <t xml:space="preserve">Item</t>
  </si>
  <si>
    <t xml:space="preserve">Specification</t>
  </si>
  <si>
    <t xml:space="preserve">Needed</t>
  </si>
  <si>
    <t xml:space="preserve">Buy qty</t>
  </si>
  <si>
    <t xml:space="preserve">Unit</t>
  </si>
  <si>
    <t xml:space="preserve">Unit price (€)</t>
  </si>
  <si>
    <t xml:space="preserve">Line cost (€)</t>
  </si>
  <si>
    <t xml:space="preserve">Price basis</t>
  </si>
  <si>
    <t xml:space="preserve">Supplier / link</t>
  </si>
  <si>
    <t xml:space="preserve">Notes</t>
  </si>
  <si>
    <t xml:space="preserve">Core and foam</t>
  </si>
  <si>
    <t xml:space="preserve">Core</t>
  </si>
  <si>
    <t xml:space="preserve">EPS core block</t>
  </si>
  <si>
    <t xml:space="preserve">EPS (PSE) 20 kg/m³, fused, cut to 2050 × 580 × 170 mm</t>
  </si>
  <si>
    <t xml:space="preserve">1 block</t>
  </si>
  <si>
    <t xml:space="preserve">block</t>
  </si>
  <si>
    <t xml:space="preserve">Estimate</t>
  </si>
  <si>
    <t xml:space="preserve">Local EPS/PSE manufacturer, cut to size</t>
  </si>
  <si>
    <t xml:space="preserve">Ask for one-piece 2050 mm length; a glued joint across the board is a weak point under the stance.</t>
  </si>
  <si>
    <t xml:space="preserve">Sandwich</t>
  </si>
  <si>
    <t xml:space="preserve">PVC foam 3 mm, 80 kg/m³</t>
  </si>
  <si>
    <t xml:space="preserve">Divinycell H80 3 mm plain sheet, 1220 × 610 mm (item 5800301)</t>
  </si>
  <si>
    <t xml:space="preserve">2.1 m² (4 sheets)</t>
  </si>
  <si>
    <t xml:space="preserve">m²</t>
  </si>
  <si>
    <t xml:space="preserve">Quoted</t>
  </si>
  <si>
    <t xml:space="preserve">R&amp;G, Germany: https://r-g.de/en/art/5800H80</t>
  </si>
  <si>
    <t xml:space="preserve">Box of 5 sheets = 3.72 m². Price incl. VAT, shipping extra. Two sheets butt-joined per side.</t>
  </si>
  <si>
    <t xml:space="preserve">Track block</t>
  </si>
  <si>
    <t xml:space="preserve">PVC foam 50 mm, 130 kg/m³</t>
  </si>
  <si>
    <t xml:space="preserve">Divinycell H130 (or H100) 50 mm, piece ≥ 150 × 420 mm</t>
  </si>
  <si>
    <t xml:space="preserve">150 × 420 mm</t>
  </si>
  <si>
    <t xml:space="preserve">piece</t>
  </si>
  <si>
    <t xml:space="preserve">R&amp;G or a DIAB distributor</t>
  </si>
  <si>
    <t xml:space="preserve">Top of the track block; the tracks are routed into this.</t>
  </si>
  <si>
    <t xml:space="preserve">PVC foam 50 mm, 60 kg/m³</t>
  </si>
  <si>
    <t xml:space="preserve">Divinycell H60 50 mm, two pieces ≥ 150 × 420 mm</t>
  </si>
  <si>
    <t xml:space="preserve">150 × 420 × 97 mm</t>
  </si>
  <si>
    <t xml:space="preserve">Stacked under the H130 to full core depth, sanded to the core line.</t>
  </si>
  <si>
    <t xml:space="preserve">Reinforcements</t>
  </si>
  <si>
    <t xml:space="preserve">Cloth</t>
  </si>
  <si>
    <t xml:space="preserve">Carbon twill 200 g/m²</t>
  </si>
  <si>
    <t xml:space="preserve">Carbon 3K 2 × 2 twill, 200 g/m², 1000 mm wide</t>
  </si>
  <si>
    <t xml:space="preserve">4.1 m</t>
  </si>
  <si>
    <t xml:space="preserve">m</t>
  </si>
  <si>
    <t xml:space="preserve">R&amp;G, Castro Composites, Quai West Composites</t>
  </si>
  <si>
    <t xml:space="preserve">Deck and bottom full layers (2.05 m each); track patches cut from the offcut strip.</t>
  </si>
  <si>
    <t xml:space="preserve">Carbon-aramid twill ~215 g/m²</t>
  </si>
  <si>
    <t xml:space="preserve">Carbon/aramid hybrid 2 × 2 twill, 200 to 215 g/m², ≥ 1000 mm wide</t>
  </si>
  <si>
    <t xml:space="preserve">1.0 m</t>
  </si>
  <si>
    <t xml:space="preserve">On hand</t>
  </si>
  <si>
    <t xml:space="preserve">Quai West Composites (Bordeaux/Ciboure), 50.48 €/m if more is needed</t>
  </si>
  <si>
    <t xml:space="preserve">Karl has some. Stance patch 900 × 500 mm under the deck carbon.</t>
  </si>
  <si>
    <t xml:space="preserve">Basalt twill 200 g/m²</t>
  </si>
  <si>
    <t xml:space="preserve">Basalt 2 × 2 twill, 200 g/m², 1000 mm wide</t>
  </si>
  <si>
    <t xml:space="preserve">1.4 m²</t>
  </si>
  <si>
    <t xml:space="preserve">R&amp;G, Castro Composites</t>
  </si>
  <si>
    <t xml:space="preserve">Rail band: 150 mm strips, two layers, plus transom corner patches.</t>
  </si>
  <si>
    <t xml:space="preserve">E-glass 100 g/m²</t>
  </si>
  <si>
    <t xml:space="preserve">E-glass plain weave, 100 g/m², 1000 mm wide</t>
  </si>
  <si>
    <t xml:space="preserve">Any composites shop</t>
  </si>
  <si>
    <t xml:space="preserve">Inner skin under the PVC, deck and bottom (2.05 m each; a 560 mm panel does not nest twice in 1000 mm).</t>
  </si>
  <si>
    <t xml:space="preserve">Resin and fillers</t>
  </si>
  <si>
    <t xml:space="preserve">Resin</t>
  </si>
  <si>
    <t xml:space="preserve">Laminating epoxy, slow</t>
  </si>
  <si>
    <t xml:space="preserve">Low-viscosity laminating epoxy with slow hardener (Sicomin, Resoltech or equal)</t>
  </si>
  <si>
    <t xml:space="preserve">2.5 kg mixed</t>
  </si>
  <si>
    <t xml:space="preserve">kg kit</t>
  </si>
  <si>
    <t xml:space="preserve">Sicomin distributor, Quai West Composites (Resoltech)</t>
  </si>
  <si>
    <t xml:space="preserve">Weigh resin to 1:1 with cloth weight; every 100 g/m² excess adds 0.23 kg.</t>
  </si>
  <si>
    <t xml:space="preserve">Filler</t>
  </si>
  <si>
    <t xml:space="preserve">Glass microballoons</t>
  </si>
  <si>
    <t xml:space="preserve">Hollow glass bubbles for fairing/fill coat</t>
  </si>
  <si>
    <t xml:space="preserve">0.3 L</t>
  </si>
  <si>
    <t xml:space="preserve">pack</t>
  </si>
  <si>
    <t xml:space="preserve">Colloidal silica</t>
  </si>
  <si>
    <t xml:space="preserve">Fumed silica thickener for bonding the track block</t>
  </si>
  <si>
    <t xml:space="preserve">50 g</t>
  </si>
  <si>
    <t xml:space="preserve">Milled fibre / cotton flock</t>
  </si>
  <si>
    <t xml:space="preserve">For potting the track boxes</t>
  </si>
  <si>
    <t xml:space="preserve">100 g</t>
  </si>
  <si>
    <t xml:space="preserve">Hardware</t>
  </si>
  <si>
    <t xml:space="preserve">Tracks</t>
  </si>
  <si>
    <t xml:space="preserve">Foil tracks 14 inch (356 mm)</t>
  </si>
  <si>
    <t xml:space="preserve">Pair of dual-track foil boxes, M8, 90 mm centres</t>
  </si>
  <si>
    <t xml:space="preserve">2</t>
  </si>
  <si>
    <t xml:space="preserve">track</t>
  </si>
  <si>
    <t xml:space="preserve">O'Karbon 14 in carbon tracks: https://www.okarbon.eu/product/foil-tracks/ ; fallback Foil-Tec 400 mm: https://foil-tec.com/en-us/collections/foil-tracks-boxes-and-inserts</t>
  </si>
  <si>
    <t xml:space="preserve">O'Karbon lists no price. Confirm the Armstrong A+ and F-One plates fit before buying. Foil-Tec 400 mm is USD 29.99 each from Australia.</t>
  </si>
  <si>
    <t xml:space="preserve">M8 T-nuts and bolts</t>
  </si>
  <si>
    <t xml:space="preserve">4 T-nuts + 4 stainless M8 bolts</t>
  </si>
  <si>
    <t xml:space="preserve">1 set</t>
  </si>
  <si>
    <t xml:space="preserve">set</t>
  </si>
  <si>
    <t xml:space="preserve">Usually supplied with the mast plate</t>
  </si>
  <si>
    <t xml:space="preserve">Skip if your foil came with them.</t>
  </si>
  <si>
    <t xml:space="preserve">Fittings</t>
  </si>
  <si>
    <t xml:space="preserve">Vent plug</t>
  </si>
  <si>
    <t xml:space="preserve">Gore-Tex breathable vent plug, flush</t>
  </si>
  <si>
    <t xml:space="preserve">1</t>
  </si>
  <si>
    <t xml:space="preserve">each</t>
  </si>
  <si>
    <t xml:space="preserve">Surf shop / shaping supply</t>
  </si>
  <si>
    <t xml:space="preserve">Leash plug</t>
  </si>
  <si>
    <t xml:space="preserve">Standard flush leash plug</t>
  </si>
  <si>
    <t xml:space="preserve">Recessed carry handle</t>
  </si>
  <si>
    <t xml:space="preserve">Flush deck handle, epoxy-set</t>
  </si>
  <si>
    <t xml:space="preserve">Finish</t>
  </si>
  <si>
    <t xml:space="preserve">Deck pad</t>
  </si>
  <si>
    <t xml:space="preserve">EVA 5 mm, 900 × 560 mm</t>
  </si>
  <si>
    <t xml:space="preserve">Surf shop / EVA sheet supplier</t>
  </si>
  <si>
    <t xml:space="preserve">Half-pad saves 0.2 kg.</t>
  </si>
  <si>
    <t xml:space="preserve">UV clear coat (optional)</t>
  </si>
  <si>
    <t xml:space="preserve">Two-pack polyurethane clear, 0.5 L</t>
  </si>
  <si>
    <t xml:space="preserve">0.5 L</t>
  </si>
  <si>
    <t xml:space="preserve">tin</t>
  </si>
  <si>
    <t xml:space="preserve">Marine paint supplier</t>
  </si>
  <si>
    <t xml:space="preserve">Optional; a sanded UV-stable epoxy finish is lighter.</t>
  </si>
  <si>
    <t xml:space="preserve">Consumables</t>
  </si>
  <si>
    <t xml:space="preserve">Bagging</t>
  </si>
  <si>
    <t xml:space="preserve">Peel ply</t>
  </si>
  <si>
    <t xml:space="preserve">Nylon peel ply, ≥ 1000 mm wide</t>
  </si>
  <si>
    <t xml:space="preserve">5 m</t>
  </si>
  <si>
    <t xml:space="preserve">Perforated release film</t>
  </si>
  <si>
    <t xml:space="preserve">≥ 1000 mm wide</t>
  </si>
  <si>
    <t xml:space="preserve">Breather</t>
  </si>
  <si>
    <t xml:space="preserve">150 g/m² polyester breather, ≥ 1000 mm wide</t>
  </si>
  <si>
    <t xml:space="preserve">Vacuum bag film</t>
  </si>
  <si>
    <t xml:space="preserve">≥ 1500 mm wide; four pulls</t>
  </si>
  <si>
    <t xml:space="preserve">12 m</t>
  </si>
  <si>
    <t xml:space="preserve">Sealant tape</t>
  </si>
  <si>
    <t xml:space="preserve">Tacky tape, 15 m rolls</t>
  </si>
  <si>
    <t xml:space="preserve">2 rolls</t>
  </si>
  <si>
    <t xml:space="preserve">roll</t>
  </si>
  <si>
    <t xml:space="preserve">Shop</t>
  </si>
  <si>
    <t xml:space="preserve">Mixing and laminating kit</t>
  </si>
  <si>
    <t xml:space="preserve">Cups, sticks, brushes, foam rollers, squeegees</t>
  </si>
  <si>
    <t xml:space="preserve">1 kit</t>
  </si>
  <si>
    <t xml:space="preserve">kit</t>
  </si>
  <si>
    <t xml:space="preserve">Nitrile gloves</t>
  </si>
  <si>
    <t xml:space="preserve">Box of 100</t>
  </si>
  <si>
    <t xml:space="preserve">box</t>
  </si>
  <si>
    <t xml:space="preserve">Abrasives</t>
  </si>
  <si>
    <t xml:space="preserve">80 / 120 / 180 / 240 / 320 grit</t>
  </si>
  <si>
    <t xml:space="preserve">Template board</t>
  </si>
  <si>
    <t xml:space="preserve">3 mm hardboard or MDF, 2440 × 1220 mm</t>
  </si>
  <si>
    <t xml:space="preserve">sheet</t>
  </si>
  <si>
    <t xml:space="preserve">DIY store</t>
  </si>
  <si>
    <t xml:space="preserve">For the printed templates.</t>
  </si>
  <si>
    <t xml:space="preserve">Spray adhesive</t>
  </si>
  <si>
    <t xml:space="preserve">Repositionable, for gluing printouts to board</t>
  </si>
  <si>
    <t xml:space="preserve">can</t>
  </si>
  <si>
    <t xml:space="preserve">Acetone</t>
  </si>
  <si>
    <t xml:space="preserve">1 L</t>
  </si>
  <si>
    <t xml:space="preserve">L</t>
  </si>
  <si>
    <t xml:space="preserve">Total materials</t>
  </si>
  <si>
    <t xml:space="preserve">of which quoted</t>
  </si>
  <si>
    <t xml:space="preserve">of which estimated</t>
  </si>
  <si>
    <t xml:space="preserve">Shipping allowance (edit)</t>
  </si>
  <si>
    <t xml:space="preserve">Three to four parcels from DE, CZ/ES and FR; adjust to your quotes.</t>
  </si>
  <si>
    <t xml:space="preserve">Total with shipping</t>
  </si>
  <si>
    <t xml:space="preserve">Tool</t>
  </si>
  <si>
    <t xml:space="preserve">Status</t>
  </si>
  <si>
    <t xml:space="preserve">Hot-wire cutter with 2.1 m bow or table</t>
  </si>
  <si>
    <t xml:space="preserve">Have</t>
  </si>
  <si>
    <t xml:space="preserve">Vacuum pump</t>
  </si>
  <si>
    <t xml:space="preserve">Vacuum gauge and bleed valve or regulator</t>
  </si>
  <si>
    <t xml:space="preserve">Check: the inner skins need −0.35 bar max so the EPS 20 does not crush</t>
  </si>
  <si>
    <t xml:space="preserve">Router with 8 to 12 mm straight bit</t>
  </si>
  <si>
    <t xml:space="preserve">Check: for the track block pocket and track slots</t>
  </si>
  <si>
    <t xml:space="preserve">Scales, 1 g resolution</t>
  </si>
  <si>
    <t xml:space="preserve">Check: for weighing resin to 1:1</t>
  </si>
  <si>
    <t xml:space="preserve">Carbon / aramid shears</t>
  </si>
  <si>
    <t xml:space="preserve">Check: aramid blunts ordinary scissors</t>
  </si>
  <si>
    <t xml:space="preserve">Sanding blocks, longboard</t>
  </si>
  <si>
    <t xml:space="preserve">Check</t>
  </si>
  <si>
    <t xml:space="preserve">Basis</t>
  </si>
  <si>
    <t xml:space="preserve">kg</t>
  </si>
  <si>
    <t xml:space="preserve">EPS core 20 kg/m³</t>
  </si>
  <si>
    <t xml:space="preserve">104 L after sandwich, block and skins</t>
  </si>
  <si>
    <t xml:space="preserve">PVC H80 3 mm, deck and bottom</t>
  </si>
  <si>
    <t xml:space="preserve">1.92 m² × 0.24 kg/m²</t>
  </si>
  <si>
    <t xml:space="preserve">Inner glass 100 g + resin</t>
  </si>
  <si>
    <t xml:space="preserve">1.92 m² × 0.30 kg/m²</t>
  </si>
  <si>
    <t xml:space="preserve">Carbon 200 g outer with wraps</t>
  </si>
  <si>
    <t xml:space="preserve">2.29 m² × 0.38 kg/m²</t>
  </si>
  <si>
    <t xml:space="preserve">Carbon-aramid stance patch</t>
  </si>
  <si>
    <t xml:space="preserve">0.45 m² × 0.38 kg/m²</t>
  </si>
  <si>
    <t xml:space="preserve">Bottom track patches, 2 × carbon</t>
  </si>
  <si>
    <t xml:space="preserve">2 × 520 × 350 mm × 0.38 kg/m²</t>
  </si>
  <si>
    <t xml:space="preserve">Basalt rail band, 2 × 200 g</t>
  </si>
  <si>
    <t xml:space="preserve">0.69 m² × 0.76 kg/m²</t>
  </si>
  <si>
    <t xml:space="preserve">Track block H130 + H60</t>
  </si>
  <si>
    <t xml:space="preserve">3.15 L × 130 + 6.1 L × 60 g/L</t>
  </si>
  <si>
    <t xml:space="preserve">14 inch track boxes and potting</t>
  </si>
  <si>
    <t xml:space="preserve">estimate</t>
  </si>
  <si>
    <t xml:space="preserve">Fill coat, sanding, clear coat</t>
  </si>
  <si>
    <t xml:space="preserve">Vent, leash plug, handle</t>
  </si>
  <si>
    <t xml:space="preserve">Deck pad 5 mm EVA</t>
  </si>
  <si>
    <t xml:space="preserve">0.9 m²</t>
  </si>
  <si>
    <t xml:space="preserve">Total, ready to ride</t>
  </si>
  <si>
    <t xml:space="preserve">Without pad</t>
  </si>
  <si>
    <t xml:space="preserve">Source: layup-spec.md weight budget, updated 2026-10-16 for 14 inch tracks (+0.3 kg over the 10 inch version).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</si>
</sst>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;\-#,##0.00&quot; €&quot;;\-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CE6F1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9" min="8" style="0" width="13"/>
    <col collapsed="false" customWidth="true" hidden="false" outlineLevel="0" max="10" min="10" style="0" width="11"/>
    <col collapsed="false" customWidth="true" hidden="false" outlineLevel="0" max="11" min="11" style="0" width="44"/>
    <col collapsed="false" customWidth="true" hidden="false" outlineLevel="0" max="12" min="12" style="0" width="52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26.85" hidden="false" customHeight="false" outlineLevel="0" collapsed="false">
      <c r="A6" s="6" t="n">
        <v>1</v>
      </c>
      <c r="B6" s="6" t="s">
        <v>15</v>
      </c>
      <c r="C6" s="6" t="s">
        <v>16</v>
      </c>
      <c r="D6" s="7" t="s">
        <v>17</v>
      </c>
      <c r="E6" s="6" t="s">
        <v>18</v>
      </c>
      <c r="F6" s="8" t="n">
        <v>1</v>
      </c>
      <c r="G6" s="6" t="s">
        <v>19</v>
      </c>
      <c r="H6" s="9" t="n">
        <v>40</v>
      </c>
      <c r="I6" s="10" t="n">
        <f aca="false">F6*H6</f>
        <v>40</v>
      </c>
      <c r="J6" s="6" t="s">
        <v>20</v>
      </c>
      <c r="K6" s="7" t="s">
        <v>21</v>
      </c>
      <c r="L6" s="7" t="s">
        <v>22</v>
      </c>
    </row>
    <row r="7" customFormat="false" ht="26.85" hidden="false" customHeight="false" outlineLevel="0" collapsed="false">
      <c r="A7" s="6" t="n">
        <v>2</v>
      </c>
      <c r="B7" s="6" t="s">
        <v>23</v>
      </c>
      <c r="C7" s="6" t="s">
        <v>24</v>
      </c>
      <c r="D7" s="7" t="s">
        <v>25</v>
      </c>
      <c r="E7" s="6" t="s">
        <v>26</v>
      </c>
      <c r="F7" s="8" t="n">
        <v>3.72</v>
      </c>
      <c r="G7" s="6" t="s">
        <v>27</v>
      </c>
      <c r="H7" s="9" t="n">
        <v>42.2</v>
      </c>
      <c r="I7" s="10" t="n">
        <f aca="false">F7*H7</f>
        <v>156.984</v>
      </c>
      <c r="J7" s="6" t="s">
        <v>28</v>
      </c>
      <c r="K7" s="7" t="s">
        <v>29</v>
      </c>
      <c r="L7" s="7" t="s">
        <v>30</v>
      </c>
    </row>
    <row r="8" customFormat="false" ht="26.85" hidden="false" customHeight="false" outlineLevel="0" collapsed="false">
      <c r="A8" s="6" t="n">
        <v>3</v>
      </c>
      <c r="B8" s="6" t="s">
        <v>31</v>
      </c>
      <c r="C8" s="6" t="s">
        <v>32</v>
      </c>
      <c r="D8" s="7" t="s">
        <v>33</v>
      </c>
      <c r="E8" s="6" t="s">
        <v>34</v>
      </c>
      <c r="F8" s="8" t="n">
        <v>1</v>
      </c>
      <c r="G8" s="6" t="s">
        <v>35</v>
      </c>
      <c r="H8" s="9" t="n">
        <v>25</v>
      </c>
      <c r="I8" s="10" t="n">
        <f aca="false">F8*H8</f>
        <v>25</v>
      </c>
      <c r="J8" s="6" t="s">
        <v>20</v>
      </c>
      <c r="K8" s="7" t="s">
        <v>36</v>
      </c>
      <c r="L8" s="7" t="s">
        <v>37</v>
      </c>
    </row>
    <row r="9" customFormat="false" ht="26.85" hidden="false" customHeight="false" outlineLevel="0" collapsed="false">
      <c r="A9" s="6" t="n">
        <v>4</v>
      </c>
      <c r="B9" s="6" t="s">
        <v>31</v>
      </c>
      <c r="C9" s="6" t="s">
        <v>38</v>
      </c>
      <c r="D9" s="7" t="s">
        <v>39</v>
      </c>
      <c r="E9" s="6" t="s">
        <v>40</v>
      </c>
      <c r="F9" s="8" t="n">
        <v>2</v>
      </c>
      <c r="G9" s="6" t="s">
        <v>35</v>
      </c>
      <c r="H9" s="9" t="n">
        <v>10</v>
      </c>
      <c r="I9" s="10" t="n">
        <f aca="false">F9*H9</f>
        <v>20</v>
      </c>
      <c r="J9" s="6" t="s">
        <v>20</v>
      </c>
      <c r="K9" s="7" t="s">
        <v>36</v>
      </c>
      <c r="L9" s="7" t="s">
        <v>41</v>
      </c>
    </row>
    <row r="10" customFormat="false" ht="15" hidden="false" customHeight="false" outlineLevel="0" collapsed="false">
      <c r="A10" s="4" t="s">
        <v>42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customFormat="false" ht="26.85" hidden="false" customHeight="false" outlineLevel="0" collapsed="false">
      <c r="A11" s="6" t="n">
        <v>5</v>
      </c>
      <c r="B11" s="6" t="s">
        <v>43</v>
      </c>
      <c r="C11" s="6" t="s">
        <v>44</v>
      </c>
      <c r="D11" s="7" t="s">
        <v>45</v>
      </c>
      <c r="E11" s="6" t="s">
        <v>46</v>
      </c>
      <c r="F11" s="8" t="n">
        <v>4.2</v>
      </c>
      <c r="G11" s="6" t="s">
        <v>47</v>
      </c>
      <c r="H11" s="9" t="n">
        <v>35</v>
      </c>
      <c r="I11" s="10" t="n">
        <f aca="false">F11*H11</f>
        <v>147</v>
      </c>
      <c r="J11" s="6" t="s">
        <v>20</v>
      </c>
      <c r="K11" s="7" t="s">
        <v>48</v>
      </c>
      <c r="L11" s="7" t="s">
        <v>49</v>
      </c>
    </row>
    <row r="12" customFormat="false" ht="26.85" hidden="false" customHeight="false" outlineLevel="0" collapsed="false">
      <c r="A12" s="6" t="n">
        <v>6</v>
      </c>
      <c r="B12" s="6" t="s">
        <v>43</v>
      </c>
      <c r="C12" s="6" t="s">
        <v>50</v>
      </c>
      <c r="D12" s="7" t="s">
        <v>51</v>
      </c>
      <c r="E12" s="6" t="s">
        <v>52</v>
      </c>
      <c r="F12" s="8" t="n">
        <v>1</v>
      </c>
      <c r="G12" s="6" t="s">
        <v>47</v>
      </c>
      <c r="H12" s="9" t="n">
        <v>0</v>
      </c>
      <c r="I12" s="10" t="n">
        <f aca="false">F12*H12</f>
        <v>0</v>
      </c>
      <c r="J12" s="11" t="s">
        <v>53</v>
      </c>
      <c r="K12" s="7" t="s">
        <v>54</v>
      </c>
      <c r="L12" s="7" t="s">
        <v>55</v>
      </c>
    </row>
    <row r="13" customFormat="false" ht="26.85" hidden="false" customHeight="false" outlineLevel="0" collapsed="false">
      <c r="A13" s="6" t="n">
        <v>7</v>
      </c>
      <c r="B13" s="6" t="s">
        <v>43</v>
      </c>
      <c r="C13" s="6" t="s">
        <v>56</v>
      </c>
      <c r="D13" s="7" t="s">
        <v>57</v>
      </c>
      <c r="E13" s="6" t="s">
        <v>58</v>
      </c>
      <c r="F13" s="8" t="n">
        <v>2</v>
      </c>
      <c r="G13" s="6" t="s">
        <v>47</v>
      </c>
      <c r="H13" s="9" t="n">
        <v>22</v>
      </c>
      <c r="I13" s="10" t="n">
        <f aca="false">F13*H13</f>
        <v>44</v>
      </c>
      <c r="J13" s="6" t="s">
        <v>20</v>
      </c>
      <c r="K13" s="7" t="s">
        <v>59</v>
      </c>
      <c r="L13" s="7" t="s">
        <v>60</v>
      </c>
    </row>
    <row r="14" customFormat="false" ht="39.55" hidden="false" customHeight="false" outlineLevel="0" collapsed="false">
      <c r="A14" s="6" t="n">
        <v>8</v>
      </c>
      <c r="B14" s="6" t="s">
        <v>43</v>
      </c>
      <c r="C14" s="6" t="s">
        <v>61</v>
      </c>
      <c r="D14" s="7" t="s">
        <v>62</v>
      </c>
      <c r="E14" s="6" t="s">
        <v>46</v>
      </c>
      <c r="F14" s="8" t="n">
        <v>4.2</v>
      </c>
      <c r="G14" s="6" t="s">
        <v>47</v>
      </c>
      <c r="H14" s="9" t="n">
        <v>6</v>
      </c>
      <c r="I14" s="10" t="n">
        <f aca="false">F14*H14</f>
        <v>25.2</v>
      </c>
      <c r="J14" s="6" t="s">
        <v>20</v>
      </c>
      <c r="K14" s="7" t="s">
        <v>63</v>
      </c>
      <c r="L14" s="7" t="s">
        <v>64</v>
      </c>
    </row>
    <row r="15" customFormat="false" ht="15" hidden="false" customHeight="false" outlineLevel="0" collapsed="false">
      <c r="A15" s="4" t="s">
        <v>65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customFormat="false" ht="26.85" hidden="false" customHeight="false" outlineLevel="0" collapsed="false">
      <c r="A16" s="6" t="n">
        <v>9</v>
      </c>
      <c r="B16" s="6" t="s">
        <v>66</v>
      </c>
      <c r="C16" s="6" t="s">
        <v>67</v>
      </c>
      <c r="D16" s="7" t="s">
        <v>68</v>
      </c>
      <c r="E16" s="6" t="s">
        <v>69</v>
      </c>
      <c r="F16" s="8" t="n">
        <v>3</v>
      </c>
      <c r="G16" s="6" t="s">
        <v>70</v>
      </c>
      <c r="H16" s="9" t="n">
        <v>38</v>
      </c>
      <c r="I16" s="10" t="n">
        <f aca="false">F16*H16</f>
        <v>114</v>
      </c>
      <c r="J16" s="6" t="s">
        <v>20</v>
      </c>
      <c r="K16" s="7" t="s">
        <v>71</v>
      </c>
      <c r="L16" s="7" t="s">
        <v>72</v>
      </c>
    </row>
    <row r="17" customFormat="false" ht="15" hidden="false" customHeight="false" outlineLevel="0" collapsed="false">
      <c r="A17" s="6" t="n">
        <v>10</v>
      </c>
      <c r="B17" s="6" t="s">
        <v>73</v>
      </c>
      <c r="C17" s="6" t="s">
        <v>74</v>
      </c>
      <c r="D17" s="7" t="s">
        <v>75</v>
      </c>
      <c r="E17" s="6" t="s">
        <v>76</v>
      </c>
      <c r="F17" s="8" t="n">
        <v>1</v>
      </c>
      <c r="G17" s="6" t="s">
        <v>77</v>
      </c>
      <c r="H17" s="9" t="n">
        <v>10</v>
      </c>
      <c r="I17" s="10" t="n">
        <f aca="false">F17*H17</f>
        <v>10</v>
      </c>
      <c r="J17" s="6" t="s">
        <v>20</v>
      </c>
      <c r="K17" s="7" t="s">
        <v>63</v>
      </c>
      <c r="L17" s="7"/>
    </row>
    <row r="18" customFormat="false" ht="26.85" hidden="false" customHeight="false" outlineLevel="0" collapsed="false">
      <c r="A18" s="6" t="n">
        <v>11</v>
      </c>
      <c r="B18" s="6" t="s">
        <v>73</v>
      </c>
      <c r="C18" s="6" t="s">
        <v>78</v>
      </c>
      <c r="D18" s="7" t="s">
        <v>79</v>
      </c>
      <c r="E18" s="6" t="s">
        <v>80</v>
      </c>
      <c r="F18" s="8" t="n">
        <v>1</v>
      </c>
      <c r="G18" s="6" t="s">
        <v>77</v>
      </c>
      <c r="H18" s="9" t="n">
        <v>8</v>
      </c>
      <c r="I18" s="10" t="n">
        <f aca="false">F18*H18</f>
        <v>8</v>
      </c>
      <c r="J18" s="6" t="s">
        <v>20</v>
      </c>
      <c r="K18" s="7" t="s">
        <v>63</v>
      </c>
      <c r="L18" s="7"/>
    </row>
    <row r="19" customFormat="false" ht="15" hidden="false" customHeight="false" outlineLevel="0" collapsed="false">
      <c r="A19" s="6" t="n">
        <v>12</v>
      </c>
      <c r="B19" s="6" t="s">
        <v>73</v>
      </c>
      <c r="C19" s="6" t="s">
        <v>81</v>
      </c>
      <c r="D19" s="7" t="s">
        <v>82</v>
      </c>
      <c r="E19" s="6" t="s">
        <v>83</v>
      </c>
      <c r="F19" s="8" t="n">
        <v>1</v>
      </c>
      <c r="G19" s="6" t="s">
        <v>77</v>
      </c>
      <c r="H19" s="9" t="n">
        <v>8</v>
      </c>
      <c r="I19" s="10" t="n">
        <f aca="false">F19*H19</f>
        <v>8</v>
      </c>
      <c r="J19" s="6" t="s">
        <v>20</v>
      </c>
      <c r="K19" s="7" t="s">
        <v>63</v>
      </c>
      <c r="L19" s="7"/>
    </row>
    <row r="20" customFormat="false" ht="15" hidden="false" customHeight="false" outlineLevel="0" collapsed="false">
      <c r="A20" s="4" t="s">
        <v>84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64.9" hidden="false" customHeight="false" outlineLevel="0" collapsed="false">
      <c r="A21" s="6" t="n">
        <v>13</v>
      </c>
      <c r="B21" s="6" t="s">
        <v>85</v>
      </c>
      <c r="C21" s="6" t="s">
        <v>86</v>
      </c>
      <c r="D21" s="7" t="s">
        <v>87</v>
      </c>
      <c r="E21" s="6" t="s">
        <v>88</v>
      </c>
      <c r="F21" s="8" t="n">
        <v>2</v>
      </c>
      <c r="G21" s="6" t="s">
        <v>89</v>
      </c>
      <c r="H21" s="9" t="n">
        <v>50</v>
      </c>
      <c r="I21" s="10" t="n">
        <f aca="false">F21*H21</f>
        <v>100</v>
      </c>
      <c r="J21" s="6" t="s">
        <v>20</v>
      </c>
      <c r="K21" s="7" t="s">
        <v>90</v>
      </c>
      <c r="L21" s="7" t="s">
        <v>91</v>
      </c>
    </row>
    <row r="22" customFormat="false" ht="15" hidden="false" customHeight="false" outlineLevel="0" collapsed="false">
      <c r="A22" s="6" t="n">
        <v>14</v>
      </c>
      <c r="B22" s="6" t="s">
        <v>85</v>
      </c>
      <c r="C22" s="6" t="s">
        <v>92</v>
      </c>
      <c r="D22" s="7" t="s">
        <v>93</v>
      </c>
      <c r="E22" s="6" t="s">
        <v>94</v>
      </c>
      <c r="F22" s="8" t="n">
        <v>1</v>
      </c>
      <c r="G22" s="6" t="s">
        <v>95</v>
      </c>
      <c r="H22" s="9" t="n">
        <v>20</v>
      </c>
      <c r="I22" s="10" t="n">
        <f aca="false">F22*H22</f>
        <v>20</v>
      </c>
      <c r="J22" s="6" t="s">
        <v>20</v>
      </c>
      <c r="K22" s="7" t="s">
        <v>96</v>
      </c>
      <c r="L22" s="7" t="s">
        <v>97</v>
      </c>
    </row>
    <row r="23" customFormat="false" ht="15" hidden="false" customHeight="false" outlineLevel="0" collapsed="false">
      <c r="A23" s="6" t="n">
        <v>15</v>
      </c>
      <c r="B23" s="6" t="s">
        <v>98</v>
      </c>
      <c r="C23" s="6" t="s">
        <v>99</v>
      </c>
      <c r="D23" s="7" t="s">
        <v>100</v>
      </c>
      <c r="E23" s="6" t="s">
        <v>101</v>
      </c>
      <c r="F23" s="8" t="n">
        <v>1</v>
      </c>
      <c r="G23" s="6" t="s">
        <v>102</v>
      </c>
      <c r="H23" s="9" t="n">
        <v>12</v>
      </c>
      <c r="I23" s="10" t="n">
        <f aca="false">F23*H23</f>
        <v>12</v>
      </c>
      <c r="J23" s="6" t="s">
        <v>20</v>
      </c>
      <c r="K23" s="7" t="s">
        <v>103</v>
      </c>
      <c r="L23" s="7"/>
    </row>
    <row r="24" customFormat="false" ht="15" hidden="false" customHeight="false" outlineLevel="0" collapsed="false">
      <c r="A24" s="6" t="n">
        <v>16</v>
      </c>
      <c r="B24" s="6" t="s">
        <v>98</v>
      </c>
      <c r="C24" s="6" t="s">
        <v>104</v>
      </c>
      <c r="D24" s="7" t="s">
        <v>105</v>
      </c>
      <c r="E24" s="6" t="s">
        <v>101</v>
      </c>
      <c r="F24" s="8" t="n">
        <v>1</v>
      </c>
      <c r="G24" s="6" t="s">
        <v>102</v>
      </c>
      <c r="H24" s="9" t="n">
        <v>6</v>
      </c>
      <c r="I24" s="10" t="n">
        <f aca="false">F24*H24</f>
        <v>6</v>
      </c>
      <c r="J24" s="6" t="s">
        <v>20</v>
      </c>
      <c r="K24" s="7" t="s">
        <v>103</v>
      </c>
      <c r="L24" s="7"/>
    </row>
    <row r="25" customFormat="false" ht="15" hidden="false" customHeight="false" outlineLevel="0" collapsed="false">
      <c r="A25" s="6" t="n">
        <v>17</v>
      </c>
      <c r="B25" s="6" t="s">
        <v>98</v>
      </c>
      <c r="C25" s="6" t="s">
        <v>106</v>
      </c>
      <c r="D25" s="7" t="s">
        <v>107</v>
      </c>
      <c r="E25" s="6" t="s">
        <v>101</v>
      </c>
      <c r="F25" s="8" t="n">
        <v>1</v>
      </c>
      <c r="G25" s="6" t="s">
        <v>102</v>
      </c>
      <c r="H25" s="9" t="n">
        <v>15</v>
      </c>
      <c r="I25" s="10" t="n">
        <f aca="false">F25*H25</f>
        <v>15</v>
      </c>
      <c r="J25" s="6" t="s">
        <v>20</v>
      </c>
      <c r="K25" s="7" t="s">
        <v>103</v>
      </c>
      <c r="L25" s="7"/>
    </row>
    <row r="26" customFormat="false" ht="15" hidden="false" customHeight="false" outlineLevel="0" collapsed="false">
      <c r="A26" s="6" t="n">
        <v>18</v>
      </c>
      <c r="B26" s="6" t="s">
        <v>108</v>
      </c>
      <c r="C26" s="6" t="s">
        <v>109</v>
      </c>
      <c r="D26" s="7" t="s">
        <v>110</v>
      </c>
      <c r="E26" s="6" t="s">
        <v>101</v>
      </c>
      <c r="F26" s="8" t="n">
        <v>1</v>
      </c>
      <c r="G26" s="6" t="s">
        <v>102</v>
      </c>
      <c r="H26" s="9" t="n">
        <v>40</v>
      </c>
      <c r="I26" s="10" t="n">
        <f aca="false">F26*H26</f>
        <v>40</v>
      </c>
      <c r="J26" s="6" t="s">
        <v>20</v>
      </c>
      <c r="K26" s="7" t="s">
        <v>111</v>
      </c>
      <c r="L26" s="7" t="s">
        <v>112</v>
      </c>
    </row>
    <row r="27" customFormat="false" ht="15" hidden="false" customHeight="false" outlineLevel="0" collapsed="false">
      <c r="A27" s="6" t="n">
        <v>19</v>
      </c>
      <c r="B27" s="6" t="s">
        <v>108</v>
      </c>
      <c r="C27" s="6" t="s">
        <v>113</v>
      </c>
      <c r="D27" s="7" t="s">
        <v>114</v>
      </c>
      <c r="E27" s="6" t="s">
        <v>115</v>
      </c>
      <c r="F27" s="8" t="n">
        <v>1</v>
      </c>
      <c r="G27" s="6" t="s">
        <v>116</v>
      </c>
      <c r="H27" s="9" t="n">
        <v>25</v>
      </c>
      <c r="I27" s="10" t="n">
        <f aca="false">F27*H27</f>
        <v>25</v>
      </c>
      <c r="J27" s="6" t="s">
        <v>20</v>
      </c>
      <c r="K27" s="7" t="s">
        <v>117</v>
      </c>
      <c r="L27" s="7" t="s">
        <v>118</v>
      </c>
    </row>
    <row r="28" customFormat="false" ht="15" hidden="false" customHeight="false" outlineLevel="0" collapsed="false">
      <c r="A28" s="4" t="s">
        <v>119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customFormat="false" ht="15" hidden="false" customHeight="false" outlineLevel="0" collapsed="false">
      <c r="A29" s="6" t="n">
        <v>20</v>
      </c>
      <c r="B29" s="6" t="s">
        <v>120</v>
      </c>
      <c r="C29" s="6" t="s">
        <v>121</v>
      </c>
      <c r="D29" s="7" t="s">
        <v>122</v>
      </c>
      <c r="E29" s="6" t="s">
        <v>123</v>
      </c>
      <c r="F29" s="8" t="n">
        <v>5</v>
      </c>
      <c r="G29" s="6" t="s">
        <v>47</v>
      </c>
      <c r="H29" s="9" t="n">
        <v>3</v>
      </c>
      <c r="I29" s="10" t="n">
        <f aca="false">F29*H29</f>
        <v>15</v>
      </c>
      <c r="J29" s="6" t="s">
        <v>20</v>
      </c>
      <c r="K29" s="7" t="s">
        <v>63</v>
      </c>
      <c r="L29" s="7"/>
    </row>
    <row r="30" customFormat="false" ht="15" hidden="false" customHeight="false" outlineLevel="0" collapsed="false">
      <c r="A30" s="6" t="n">
        <v>21</v>
      </c>
      <c r="B30" s="6" t="s">
        <v>120</v>
      </c>
      <c r="C30" s="6" t="s">
        <v>124</v>
      </c>
      <c r="D30" s="7" t="s">
        <v>125</v>
      </c>
      <c r="E30" s="6" t="s">
        <v>123</v>
      </c>
      <c r="F30" s="8" t="n">
        <v>5</v>
      </c>
      <c r="G30" s="6" t="s">
        <v>47</v>
      </c>
      <c r="H30" s="9" t="n">
        <v>3</v>
      </c>
      <c r="I30" s="10" t="n">
        <f aca="false">F30*H30</f>
        <v>15</v>
      </c>
      <c r="J30" s="6" t="s">
        <v>20</v>
      </c>
      <c r="K30" s="7" t="s">
        <v>63</v>
      </c>
      <c r="L30" s="7"/>
    </row>
    <row r="31" customFormat="false" ht="15" hidden="false" customHeight="false" outlineLevel="0" collapsed="false">
      <c r="A31" s="6" t="n">
        <v>22</v>
      </c>
      <c r="B31" s="6" t="s">
        <v>120</v>
      </c>
      <c r="C31" s="6" t="s">
        <v>126</v>
      </c>
      <c r="D31" s="7" t="s">
        <v>127</v>
      </c>
      <c r="E31" s="6" t="s">
        <v>123</v>
      </c>
      <c r="F31" s="8" t="n">
        <v>5</v>
      </c>
      <c r="G31" s="6" t="s">
        <v>47</v>
      </c>
      <c r="H31" s="9" t="n">
        <v>3</v>
      </c>
      <c r="I31" s="10" t="n">
        <f aca="false">F31*H31</f>
        <v>15</v>
      </c>
      <c r="J31" s="6" t="s">
        <v>20</v>
      </c>
      <c r="K31" s="7" t="s">
        <v>63</v>
      </c>
      <c r="L31" s="7"/>
    </row>
    <row r="32" customFormat="false" ht="15" hidden="false" customHeight="false" outlineLevel="0" collapsed="false">
      <c r="A32" s="6" t="n">
        <v>23</v>
      </c>
      <c r="B32" s="6" t="s">
        <v>120</v>
      </c>
      <c r="C32" s="6" t="s">
        <v>128</v>
      </c>
      <c r="D32" s="7" t="s">
        <v>129</v>
      </c>
      <c r="E32" s="6" t="s">
        <v>130</v>
      </c>
      <c r="F32" s="8" t="n">
        <v>12</v>
      </c>
      <c r="G32" s="6" t="s">
        <v>47</v>
      </c>
      <c r="H32" s="9" t="n">
        <v>2</v>
      </c>
      <c r="I32" s="10" t="n">
        <f aca="false">F32*H32</f>
        <v>24</v>
      </c>
      <c r="J32" s="6" t="s">
        <v>20</v>
      </c>
      <c r="K32" s="7" t="s">
        <v>63</v>
      </c>
      <c r="L32" s="7"/>
    </row>
    <row r="33" customFormat="false" ht="15" hidden="false" customHeight="false" outlineLevel="0" collapsed="false">
      <c r="A33" s="6" t="n">
        <v>24</v>
      </c>
      <c r="B33" s="6" t="s">
        <v>120</v>
      </c>
      <c r="C33" s="6" t="s">
        <v>131</v>
      </c>
      <c r="D33" s="7" t="s">
        <v>132</v>
      </c>
      <c r="E33" s="6" t="s">
        <v>133</v>
      </c>
      <c r="F33" s="8" t="n">
        <v>2</v>
      </c>
      <c r="G33" s="6" t="s">
        <v>134</v>
      </c>
      <c r="H33" s="9" t="n">
        <v>12</v>
      </c>
      <c r="I33" s="10" t="n">
        <f aca="false">F33*H33</f>
        <v>24</v>
      </c>
      <c r="J33" s="6" t="s">
        <v>20</v>
      </c>
      <c r="K33" s="7" t="s">
        <v>63</v>
      </c>
      <c r="L33" s="7"/>
    </row>
    <row r="34" customFormat="false" ht="15" hidden="false" customHeight="false" outlineLevel="0" collapsed="false">
      <c r="A34" s="6" t="n">
        <v>25</v>
      </c>
      <c r="B34" s="6" t="s">
        <v>135</v>
      </c>
      <c r="C34" s="6" t="s">
        <v>136</v>
      </c>
      <c r="D34" s="7" t="s">
        <v>137</v>
      </c>
      <c r="E34" s="6" t="s">
        <v>138</v>
      </c>
      <c r="F34" s="8" t="n">
        <v>1</v>
      </c>
      <c r="G34" s="6" t="s">
        <v>139</v>
      </c>
      <c r="H34" s="9" t="n">
        <v>25</v>
      </c>
      <c r="I34" s="10" t="n">
        <f aca="false">F34*H34</f>
        <v>25</v>
      </c>
      <c r="J34" s="6" t="s">
        <v>20</v>
      </c>
      <c r="K34" s="7"/>
      <c r="L34" s="7"/>
    </row>
    <row r="35" customFormat="false" ht="15" hidden="false" customHeight="false" outlineLevel="0" collapsed="false">
      <c r="A35" s="6" t="n">
        <v>26</v>
      </c>
      <c r="B35" s="6" t="s">
        <v>135</v>
      </c>
      <c r="C35" s="6" t="s">
        <v>140</v>
      </c>
      <c r="D35" s="7" t="s">
        <v>141</v>
      </c>
      <c r="E35" s="6" t="s">
        <v>101</v>
      </c>
      <c r="F35" s="8" t="n">
        <v>1</v>
      </c>
      <c r="G35" s="6" t="s">
        <v>142</v>
      </c>
      <c r="H35" s="9" t="n">
        <v>10</v>
      </c>
      <c r="I35" s="10" t="n">
        <f aca="false">F35*H35</f>
        <v>10</v>
      </c>
      <c r="J35" s="6" t="s">
        <v>20</v>
      </c>
      <c r="K35" s="7"/>
      <c r="L35" s="7"/>
    </row>
    <row r="36" customFormat="false" ht="15" hidden="false" customHeight="false" outlineLevel="0" collapsed="false">
      <c r="A36" s="6" t="n">
        <v>27</v>
      </c>
      <c r="B36" s="6" t="s">
        <v>135</v>
      </c>
      <c r="C36" s="6" t="s">
        <v>143</v>
      </c>
      <c r="D36" s="7" t="s">
        <v>144</v>
      </c>
      <c r="E36" s="6" t="s">
        <v>94</v>
      </c>
      <c r="F36" s="8" t="n">
        <v>1</v>
      </c>
      <c r="G36" s="6" t="s">
        <v>95</v>
      </c>
      <c r="H36" s="9" t="n">
        <v>25</v>
      </c>
      <c r="I36" s="10" t="n">
        <f aca="false">F36*H36</f>
        <v>25</v>
      </c>
      <c r="J36" s="6" t="s">
        <v>20</v>
      </c>
      <c r="K36" s="7"/>
      <c r="L36" s="7"/>
    </row>
    <row r="37" customFormat="false" ht="15" hidden="false" customHeight="false" outlineLevel="0" collapsed="false">
      <c r="A37" s="6" t="n">
        <v>28</v>
      </c>
      <c r="B37" s="6" t="s">
        <v>135</v>
      </c>
      <c r="C37" s="6" t="s">
        <v>145</v>
      </c>
      <c r="D37" s="7" t="s">
        <v>146</v>
      </c>
      <c r="E37" s="6" t="s">
        <v>101</v>
      </c>
      <c r="F37" s="8" t="n">
        <v>1</v>
      </c>
      <c r="G37" s="6" t="s">
        <v>147</v>
      </c>
      <c r="H37" s="9" t="n">
        <v>15</v>
      </c>
      <c r="I37" s="10" t="n">
        <f aca="false">F37*H37</f>
        <v>15</v>
      </c>
      <c r="J37" s="6" t="s">
        <v>20</v>
      </c>
      <c r="K37" s="7" t="s">
        <v>148</v>
      </c>
      <c r="L37" s="7" t="s">
        <v>149</v>
      </c>
    </row>
    <row r="38" customFormat="false" ht="15" hidden="false" customHeight="false" outlineLevel="0" collapsed="false">
      <c r="A38" s="6" t="n">
        <v>29</v>
      </c>
      <c r="B38" s="6" t="s">
        <v>135</v>
      </c>
      <c r="C38" s="6" t="s">
        <v>150</v>
      </c>
      <c r="D38" s="7" t="s">
        <v>151</v>
      </c>
      <c r="E38" s="6" t="s">
        <v>101</v>
      </c>
      <c r="F38" s="8" t="n">
        <v>1</v>
      </c>
      <c r="G38" s="6" t="s">
        <v>152</v>
      </c>
      <c r="H38" s="9" t="n">
        <v>10</v>
      </c>
      <c r="I38" s="10" t="n">
        <f aca="false">F38*H38</f>
        <v>10</v>
      </c>
      <c r="J38" s="6" t="s">
        <v>20</v>
      </c>
      <c r="K38" s="7" t="s">
        <v>148</v>
      </c>
      <c r="L38" s="7"/>
    </row>
    <row r="39" customFormat="false" ht="15" hidden="false" customHeight="false" outlineLevel="0" collapsed="false">
      <c r="A39" s="6" t="n">
        <v>30</v>
      </c>
      <c r="B39" s="6" t="s">
        <v>135</v>
      </c>
      <c r="C39" s="6" t="s">
        <v>153</v>
      </c>
      <c r="D39" s="7" t="s">
        <v>154</v>
      </c>
      <c r="E39" s="6" t="s">
        <v>101</v>
      </c>
      <c r="F39" s="8" t="n">
        <v>1</v>
      </c>
      <c r="G39" s="6" t="s">
        <v>155</v>
      </c>
      <c r="H39" s="9" t="n">
        <v>6</v>
      </c>
      <c r="I39" s="10" t="n">
        <f aca="false">F39*H39</f>
        <v>6</v>
      </c>
      <c r="J39" s="6" t="s">
        <v>20</v>
      </c>
      <c r="K39" s="7" t="s">
        <v>148</v>
      </c>
      <c r="L39" s="7"/>
    </row>
    <row r="41" customFormat="false" ht="15" hidden="false" customHeight="false" outlineLevel="0" collapsed="false">
      <c r="H41" s="12" t="s">
        <v>156</v>
      </c>
      <c r="I41" s="13" t="n">
        <f aca="false">SUM(I5:I39)</f>
        <v>1000.184</v>
      </c>
    </row>
    <row r="42" customFormat="false" ht="15" hidden="false" customHeight="false" outlineLevel="0" collapsed="false">
      <c r="H42" s="12" t="s">
        <v>157</v>
      </c>
      <c r="I42" s="13" t="n">
        <f aca="false">SUMIF(J5:J39,"Quoted",I5:I39)</f>
        <v>156.984</v>
      </c>
    </row>
    <row r="43" customFormat="false" ht="15" hidden="false" customHeight="false" outlineLevel="0" collapsed="false">
      <c r="H43" s="12" t="s">
        <v>158</v>
      </c>
      <c r="I43" s="13" t="n">
        <f aca="false">SUMIF(J5:J39,"Estimate",I5:I39)</f>
        <v>843.2</v>
      </c>
    </row>
    <row r="44" customFormat="false" ht="15" hidden="false" customHeight="false" outlineLevel="0" collapsed="false">
      <c r="H44" s="12" t="s">
        <v>159</v>
      </c>
      <c r="I44" s="14" t="n">
        <v>60</v>
      </c>
      <c r="J44" s="15" t="s">
        <v>160</v>
      </c>
    </row>
    <row r="45" customFormat="false" ht="15" hidden="false" customHeight="false" outlineLevel="0" collapsed="false">
      <c r="H45" s="12" t="s">
        <v>161</v>
      </c>
      <c r="I45" s="13" t="n">
        <f aca="false">I41+I44</f>
        <v>1060.184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6" t="s">
        <v>162</v>
      </c>
      <c r="B1" s="16" t="s">
        <v>163</v>
      </c>
    </row>
    <row r="2" customFormat="false" ht="15" hidden="false" customHeight="false" outlineLevel="0" collapsed="false">
      <c r="A2" s="17" t="s">
        <v>164</v>
      </c>
      <c r="B2" s="17" t="s">
        <v>165</v>
      </c>
    </row>
    <row r="3" customFormat="false" ht="15" hidden="false" customHeight="false" outlineLevel="0" collapsed="false">
      <c r="A3" s="17" t="s">
        <v>166</v>
      </c>
      <c r="B3" s="17" t="s">
        <v>165</v>
      </c>
    </row>
    <row r="4" customFormat="false" ht="15" hidden="false" customHeight="false" outlineLevel="0" collapsed="false">
      <c r="A4" s="17" t="s">
        <v>167</v>
      </c>
      <c r="B4" s="17" t="s">
        <v>168</v>
      </c>
    </row>
    <row r="5" customFormat="false" ht="15" hidden="false" customHeight="false" outlineLevel="0" collapsed="false">
      <c r="A5" s="17" t="s">
        <v>169</v>
      </c>
      <c r="B5" s="17" t="s">
        <v>170</v>
      </c>
    </row>
    <row r="6" customFormat="false" ht="15" hidden="false" customHeight="false" outlineLevel="0" collapsed="false">
      <c r="A6" s="17" t="s">
        <v>171</v>
      </c>
      <c r="B6" s="17" t="s">
        <v>172</v>
      </c>
    </row>
    <row r="7" customFormat="false" ht="15" hidden="false" customHeight="false" outlineLevel="0" collapsed="false">
      <c r="A7" s="17" t="s">
        <v>173</v>
      </c>
      <c r="B7" s="17" t="s">
        <v>174</v>
      </c>
    </row>
    <row r="8" customFormat="false" ht="15" hidden="false" customHeight="false" outlineLevel="0" collapsed="false">
      <c r="A8" s="17" t="s">
        <v>175</v>
      </c>
      <c r="B8" s="17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0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6" t="s">
        <v>4</v>
      </c>
      <c r="B1" s="16" t="s">
        <v>177</v>
      </c>
      <c r="C1" s="16" t="s">
        <v>178</v>
      </c>
    </row>
    <row r="2" customFormat="false" ht="15" hidden="false" customHeight="false" outlineLevel="0" collapsed="false">
      <c r="A2" s="17" t="s">
        <v>179</v>
      </c>
      <c r="B2" s="17" t="s">
        <v>180</v>
      </c>
      <c r="C2" s="18" t="n">
        <v>2.08</v>
      </c>
    </row>
    <row r="3" customFormat="false" ht="15" hidden="false" customHeight="false" outlineLevel="0" collapsed="false">
      <c r="A3" s="17" t="s">
        <v>181</v>
      </c>
      <c r="B3" s="17" t="s">
        <v>182</v>
      </c>
      <c r="C3" s="18" t="n">
        <v>0.46</v>
      </c>
    </row>
    <row r="4" customFormat="false" ht="15" hidden="false" customHeight="false" outlineLevel="0" collapsed="false">
      <c r="A4" s="17" t="s">
        <v>183</v>
      </c>
      <c r="B4" s="17" t="s">
        <v>184</v>
      </c>
      <c r="C4" s="18" t="n">
        <v>0.58</v>
      </c>
    </row>
    <row r="5" customFormat="false" ht="15" hidden="false" customHeight="false" outlineLevel="0" collapsed="false">
      <c r="A5" s="17" t="s">
        <v>185</v>
      </c>
      <c r="B5" s="17" t="s">
        <v>186</v>
      </c>
      <c r="C5" s="18" t="n">
        <v>0.87</v>
      </c>
    </row>
    <row r="6" customFormat="false" ht="15" hidden="false" customHeight="false" outlineLevel="0" collapsed="false">
      <c r="A6" s="17" t="s">
        <v>187</v>
      </c>
      <c r="B6" s="17" t="s">
        <v>188</v>
      </c>
      <c r="C6" s="18" t="n">
        <v>0.17</v>
      </c>
    </row>
    <row r="7" customFormat="false" ht="15" hidden="false" customHeight="false" outlineLevel="0" collapsed="false">
      <c r="A7" s="17" t="s">
        <v>189</v>
      </c>
      <c r="B7" s="17" t="s">
        <v>190</v>
      </c>
      <c r="C7" s="18" t="n">
        <v>0.14</v>
      </c>
    </row>
    <row r="8" customFormat="false" ht="15" hidden="false" customHeight="false" outlineLevel="0" collapsed="false">
      <c r="A8" s="17" t="s">
        <v>191</v>
      </c>
      <c r="B8" s="17" t="s">
        <v>192</v>
      </c>
      <c r="C8" s="18" t="n">
        <v>0.52</v>
      </c>
    </row>
    <row r="9" customFormat="false" ht="15" hidden="false" customHeight="false" outlineLevel="0" collapsed="false">
      <c r="A9" s="17" t="s">
        <v>193</v>
      </c>
      <c r="B9" s="17" t="s">
        <v>194</v>
      </c>
      <c r="C9" s="18" t="n">
        <v>0.78</v>
      </c>
    </row>
    <row r="10" customFormat="false" ht="15" hidden="false" customHeight="false" outlineLevel="0" collapsed="false">
      <c r="A10" s="17" t="s">
        <v>195</v>
      </c>
      <c r="B10" s="17" t="s">
        <v>196</v>
      </c>
      <c r="C10" s="18" t="n">
        <v>0.55</v>
      </c>
    </row>
    <row r="11" customFormat="false" ht="15" hidden="false" customHeight="false" outlineLevel="0" collapsed="false">
      <c r="A11" s="17" t="s">
        <v>197</v>
      </c>
      <c r="B11" s="17" t="s">
        <v>196</v>
      </c>
      <c r="C11" s="18" t="n">
        <v>0.4</v>
      </c>
    </row>
    <row r="12" customFormat="false" ht="15" hidden="false" customHeight="false" outlineLevel="0" collapsed="false">
      <c r="A12" s="17" t="s">
        <v>198</v>
      </c>
      <c r="B12" s="17" t="s">
        <v>196</v>
      </c>
      <c r="C12" s="18" t="n">
        <v>0.12</v>
      </c>
    </row>
    <row r="13" customFormat="false" ht="15" hidden="false" customHeight="false" outlineLevel="0" collapsed="false">
      <c r="A13" s="17" t="s">
        <v>199</v>
      </c>
      <c r="B13" s="17" t="s">
        <v>200</v>
      </c>
      <c r="C13" s="18" t="n">
        <v>0.45</v>
      </c>
    </row>
    <row r="14" customFormat="false" ht="15" hidden="false" customHeight="false" outlineLevel="0" collapsed="false">
      <c r="A14" s="12" t="s">
        <v>201</v>
      </c>
      <c r="C14" s="19" t="n">
        <f aca="false">SUM(C2:C13)</f>
        <v>7.12</v>
      </c>
    </row>
    <row r="15" customFormat="false" ht="15" hidden="false" customHeight="false" outlineLevel="0" collapsed="false">
      <c r="A15" s="17" t="s">
        <v>202</v>
      </c>
      <c r="C15" s="20" t="n">
        <f aca="false">C14-C13</f>
        <v>6.67</v>
      </c>
    </row>
    <row r="17" customFormat="false" ht="15" hidden="false" customHeight="false" outlineLevel="0" collapsed="false">
      <c r="A17" s="15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2026-10-16T13:54:32Z</dcterms:created>
  <dc:creator>openpyxl</dc:creator>
  <dc:description/>
  <dc:language>en-US</dc:language>
  <cp:lastModifiedBy/>
  <dcterms:modified xsi:type="dcterms:W3CDTF">2026-10-16T13:54:32Z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